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lucas.silva\Desktop\BPO Financeiro\"/>
    </mc:Choice>
  </mc:AlternateContent>
  <xr:revisionPtr revIDLastSave="0" documentId="13_ncr:1_{976848C6-A6D7-4028-8A6C-406D3312DCDF}" xr6:coauthVersionLast="46" xr6:coauthVersionMax="47" xr10:uidLastSave="{00000000-0000-0000-0000-000000000000}"/>
  <bookViews>
    <workbookView xWindow="-120" yWindow="-120" windowWidth="20730" windowHeight="11040" xr2:uid="{42D3E663-C446-4DA4-868F-7D57E411563C}"/>
  </bookViews>
  <sheets>
    <sheet name="Saldos Brustin" sheetId="1" r:id="rId1"/>
    <sheet name="Inadimplência" sheetId="3" r:id="rId2"/>
  </sheet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19" i="1"/>
  <c r="C12" i="1"/>
  <c r="C29" i="1"/>
  <c r="C7" i="1" l="1"/>
</calcChain>
</file>

<file path=xl/sharedStrings.xml><?xml version="1.0" encoding="utf-8"?>
<sst xmlns="http://schemas.openxmlformats.org/spreadsheetml/2006/main" count="108" uniqueCount="78">
  <si>
    <t xml:space="preserve">Saldo Anterior ( A ) </t>
  </si>
  <si>
    <t xml:space="preserve">Entrada  ( B ) </t>
  </si>
  <si>
    <t xml:space="preserve">Saída ( C ) </t>
  </si>
  <si>
    <t xml:space="preserve">Saldo Atual ( A + B - C ) </t>
  </si>
  <si>
    <t>Saldo Conta Azul PJ</t>
  </si>
  <si>
    <t>Saldo Atual da Conta PJ</t>
  </si>
  <si>
    <t>Inadimplência</t>
  </si>
  <si>
    <t>TOTAL</t>
  </si>
  <si>
    <t>CDB Liquidez Diária</t>
  </si>
  <si>
    <t xml:space="preserve">Aplicação </t>
  </si>
  <si>
    <t xml:space="preserve">Resgate </t>
  </si>
  <si>
    <t xml:space="preserve">Saldo Atual da Conta de Aplicação </t>
  </si>
  <si>
    <t>Saldo Total CDB</t>
  </si>
  <si>
    <t xml:space="preserve">            Brustin Studio Ltda </t>
  </si>
  <si>
    <t xml:space="preserve">INADIMPLÊNCIA ATUALIZADA </t>
  </si>
  <si>
    <t>FASTMETAL INDÚSTRIA E COMÉRCIO</t>
  </si>
  <si>
    <t>ELETRICA DIVINOPOLIS</t>
  </si>
  <si>
    <t>HOTEL VERONA TOWER</t>
  </si>
  <si>
    <t>DA LUA MUDANÇAS</t>
  </si>
  <si>
    <t>WM SHOW'S</t>
  </si>
  <si>
    <t>RENATA PINHEIRO LOYOLA</t>
  </si>
  <si>
    <t>VITALTEC</t>
  </si>
  <si>
    <t>RD GESTAO E SISTEMAS S.A.</t>
  </si>
  <si>
    <t>CARTORIO PRIVATIVO</t>
  </si>
  <si>
    <t>MULHERES CONECTADAS</t>
  </si>
  <si>
    <t>REFRYGERAR</t>
  </si>
  <si>
    <t>BE REALTY LTDA</t>
  </si>
  <si>
    <t>STILO IMOVEIS LTDA</t>
  </si>
  <si>
    <t>A1 - AVALIACOES, NEGOCIOS IMOBILIARIOS E LAUDOS LTDA</t>
  </si>
  <si>
    <t>ELETRO PEÇAS (ELETRO MUSICAL)</t>
  </si>
  <si>
    <t>MIT MINERAÇAO</t>
  </si>
  <si>
    <t>APICE GESTAO E LOCACAO LTDA</t>
  </si>
  <si>
    <t>LPLM SERVICOS MEDICOS LTDA</t>
  </si>
  <si>
    <t>PLANETA RADICAL COMERCIO</t>
  </si>
  <si>
    <t>ESCOLA ARCO IRIS</t>
  </si>
  <si>
    <t>CLIENTE</t>
  </si>
  <si>
    <t>DATA DE VENCIMENTO</t>
  </si>
  <si>
    <t>VALOR</t>
  </si>
  <si>
    <t>ANA LUIZA MOTA DE AZEVEDO</t>
  </si>
  <si>
    <t>05/01/2024</t>
  </si>
  <si>
    <t>08/01/2024</t>
  </si>
  <si>
    <t>20/03/2024</t>
  </si>
  <si>
    <t>15/04/2024</t>
  </si>
  <si>
    <t>05/01/2025</t>
  </si>
  <si>
    <t>08/01/2025</t>
  </si>
  <si>
    <t>02/08/2025</t>
  </si>
  <si>
    <t>03/10/2025</t>
  </si>
  <si>
    <t>01/11/2025</t>
  </si>
  <si>
    <t>10/11/2025</t>
  </si>
  <si>
    <t>19/02/2026</t>
  </si>
  <si>
    <t>05/03/2026</t>
  </si>
  <si>
    <t>07/03/2026</t>
  </si>
  <si>
    <t>10/03/2026</t>
  </si>
  <si>
    <t>20/03/2026</t>
  </si>
  <si>
    <t>02/04/2026</t>
  </si>
  <si>
    <t>11/04/2026</t>
  </si>
  <si>
    <t>15/04/2026</t>
  </si>
  <si>
    <t>20/04/2026</t>
  </si>
  <si>
    <t>05/05/2026</t>
  </si>
  <si>
    <t>15/05/2026</t>
  </si>
  <si>
    <t>20/05/2026</t>
  </si>
  <si>
    <t>28/05/2026</t>
  </si>
  <si>
    <t>05/06/2026</t>
  </si>
  <si>
    <t>20/06/2026</t>
  </si>
  <si>
    <t>05/07/2026</t>
  </si>
  <si>
    <t>09/07/2026</t>
  </si>
  <si>
    <t>15/07/2026</t>
  </si>
  <si>
    <t>20/07/2026</t>
  </si>
  <si>
    <t>02/08/2026</t>
  </si>
  <si>
    <t>05/08/2026</t>
  </si>
  <si>
    <t>15/08/2026</t>
  </si>
  <si>
    <t>Painel de Saldos Diários 18/08 à 19/08/2026</t>
  </si>
  <si>
    <t>Saldo Conta Corrente Banco Cora</t>
  </si>
  <si>
    <t>Saldo Conta Corrente Banco Inter</t>
  </si>
  <si>
    <t>CDB Agrolend</t>
  </si>
  <si>
    <t>Recebimentos em Agosto 2026</t>
  </si>
  <si>
    <t>Retiradas em Agosto 2026</t>
  </si>
  <si>
    <t>Vendas Plano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</si>
</sst>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.##.;\-&quot;R$&quot;\ #.##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badi Extra Light"/>
      <family val="2"/>
    </font>
    <font>
      <sz val="8"/>
      <name val="Aptos Narrow"/>
      <family val="2"/>
      <scheme val="minor"/>
    </font>
    <font>
      <b/>
      <sz val="14"/>
      <color theme="0"/>
      <name val="Aptos Light"/>
      <family val="2"/>
    </font>
    <font>
      <sz val="11"/>
      <color theme="1"/>
      <name val="Aptos Light"/>
      <family val="2"/>
    </font>
    <font>
      <sz val="18"/>
      <color theme="1"/>
      <name val="Avenir Next LT Pro"/>
      <family val="2"/>
    </font>
    <font>
      <b/>
      <sz val="14"/>
      <color theme="0"/>
      <name val="Avenir Next LT Pro"/>
      <family val="2"/>
    </font>
    <font>
      <sz val="14"/>
      <color theme="1"/>
      <name val="Avenir Next LT Pro"/>
      <family val="2"/>
    </font>
    <font>
      <sz val="14"/>
      <color rgb="FFFF0000"/>
      <name val="Avenir Next LT Pro"/>
      <family val="2"/>
    </font>
    <font>
      <sz val="14"/>
      <color theme="1" tint="4.9989318521683403E-2"/>
      <name val="Avenir Next LT Pro"/>
      <family val="2"/>
    </font>
    <font>
      <b/>
      <sz val="14"/>
      <color theme="1"/>
      <name val="Avenir Next LT Pro"/>
      <family val="2"/>
    </font>
    <font>
      <sz val="14"/>
      <color theme="0"/>
      <name val="Avenir Next LT Pro"/>
      <family val="2"/>
    </font>
    <font>
      <b/>
      <sz val="11"/>
      <color theme="1"/>
      <name val="Avenir Next LT Pro"/>
      <family val="2"/>
    </font>
    <font>
      <sz val="11"/>
      <color theme="1"/>
      <name val="Avenir Next LT Pro"/>
      <family val="2"/>
    </font>
    <font>
      <b/>
      <sz val="14"/>
      <color rgb="FFFF0000"/>
      <name val="Avenir Next LT Pro"/>
      <family val="2"/>
    </font>
    <font>
      <sz val="11"/>
      <color rgb="FFFF0000"/>
      <name val="Avenir Next LT Pro"/>
      <family val="2"/>
    </font>
    <font>
      <b/>
      <sz val="11"/>
      <color rgb="FFFF0000"/>
      <name val="Avenir Next LT Pro"/>
      <family val="2"/>
    </font>
    <font>
      <b/>
      <sz val="11"/>
      <color theme="1"/>
      <name val="Aptos Narrow"/>
      <scheme val="minor"/>
    </font>
    <font>
      <sz val="11"/>
      <color theme="0"/>
      <name val="Aptos Narrow"/>
      <scheme val="minor"/>
    </font>
    <font>
      <sz val="9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3" borderId="0" xfId="0" applyFont="1" applyFill="1"/>
    <xf numFmtId="44" fontId="6" fillId="3" borderId="0" xfId="1" applyFont="1" applyFill="1" applyBorder="1" applyAlignment="1">
      <alignment horizontal="left"/>
    </xf>
    <xf numFmtId="14" fontId="6" fillId="3" borderId="0" xfId="0" applyNumberFormat="1" applyFont="1" applyFill="1"/>
    <xf numFmtId="4" fontId="0" fillId="0" borderId="0" xfId="0" applyNumberFormat="1"/>
    <xf numFmtId="44" fontId="3" fillId="0" borderId="0" xfId="1" applyFont="1" applyBorder="1"/>
    <xf numFmtId="0" fontId="9" fillId="0" borderId="5" xfId="0" applyFont="1" applyBorder="1" applyAlignment="1">
      <alignment vertical="center"/>
    </xf>
    <xf numFmtId="44" fontId="9" fillId="0" borderId="5" xfId="1" applyFont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44" fontId="13" fillId="2" borderId="3" xfId="1" applyFont="1" applyFill="1" applyBorder="1"/>
    <xf numFmtId="44" fontId="13" fillId="2" borderId="10" xfId="1" applyFont="1" applyFill="1" applyBorder="1"/>
    <xf numFmtId="44" fontId="9" fillId="0" borderId="3" xfId="1" applyFont="1" applyBorder="1" applyAlignment="1">
      <alignment vertical="center"/>
    </xf>
    <xf numFmtId="44" fontId="9" fillId="0" borderId="12" xfId="1" applyFont="1" applyBorder="1"/>
    <xf numFmtId="0" fontId="9" fillId="0" borderId="2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164" fontId="15" fillId="0" borderId="0" xfId="0" applyNumberFormat="1" applyFont="1"/>
    <xf numFmtId="0" fontId="15" fillId="0" borderId="0" xfId="0" applyFont="1"/>
    <xf numFmtId="0" fontId="12" fillId="0" borderId="14" xfId="0" applyFont="1" applyBorder="1" applyAlignment="1">
      <alignment vertical="center"/>
    </xf>
    <xf numFmtId="17" fontId="14" fillId="0" borderId="0" xfId="0" applyNumberFormat="1" applyFont="1"/>
    <xf numFmtId="0" fontId="12" fillId="0" borderId="5" xfId="0" applyFont="1" applyBorder="1" applyAlignment="1">
      <alignment vertical="center"/>
    </xf>
    <xf numFmtId="44" fontId="12" fillId="0" borderId="8" xfId="1" applyFont="1" applyBorder="1" applyAlignment="1">
      <alignment horizontal="left" vertical="center"/>
    </xf>
    <xf numFmtId="44" fontId="12" fillId="0" borderId="5" xfId="1" applyFont="1" applyBorder="1" applyAlignment="1">
      <alignment horizontal="left" vertical="center"/>
    </xf>
    <xf numFmtId="44" fontId="12" fillId="0" borderId="13" xfId="1" applyFont="1" applyBorder="1" applyAlignment="1">
      <alignment horizontal="left"/>
    </xf>
    <xf numFmtId="44" fontId="12" fillId="0" borderId="8" xfId="1" applyFont="1" applyBorder="1" applyAlignment="1">
      <alignment horizontal="left"/>
    </xf>
    <xf numFmtId="44" fontId="9" fillId="0" borderId="5" xfId="1" applyFont="1" applyBorder="1" applyAlignment="1">
      <alignment horizontal="left" vertical="center"/>
    </xf>
    <xf numFmtId="44" fontId="12" fillId="0" borderId="6" xfId="1" applyFont="1" applyBorder="1" applyAlignment="1">
      <alignment horizontal="left" vertical="center"/>
    </xf>
    <xf numFmtId="44" fontId="9" fillId="0" borderId="6" xfId="1" applyFont="1" applyBorder="1" applyAlignment="1">
      <alignment horizontal="left" vertical="center"/>
    </xf>
    <xf numFmtId="44" fontId="10" fillId="0" borderId="5" xfId="1" applyFont="1" applyBorder="1" applyAlignment="1">
      <alignment horizontal="left" vertical="center"/>
    </xf>
    <xf numFmtId="44" fontId="11" fillId="3" borderId="5" xfId="1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16" fillId="3" borderId="0" xfId="1" applyNumberFormat="1" applyFont="1" applyFill="1" applyBorder="1" applyAlignment="1">
      <alignment horizontal="left" vertical="center"/>
    </xf>
    <xf numFmtId="44" fontId="17" fillId="3" borderId="0" xfId="1" applyFont="1" applyFill="1" applyBorder="1" applyAlignment="1">
      <alignment horizontal="left" vertical="center"/>
    </xf>
    <xf numFmtId="44" fontId="16" fillId="3" borderId="0" xfId="1" applyFont="1" applyFill="1" applyBorder="1" applyAlignment="1">
      <alignment horizontal="center"/>
    </xf>
    <xf numFmtId="0" fontId="16" fillId="3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/>
    </xf>
    <xf numFmtId="17" fontId="17" fillId="3" borderId="0" xfId="0" applyNumberFormat="1" applyFont="1" applyFill="1" applyBorder="1" applyAlignment="1">
      <alignment horizontal="center" vertical="center"/>
    </xf>
    <xf numFmtId="17" fontId="17" fillId="3" borderId="0" xfId="0" applyNumberFormat="1" applyFont="1" applyFill="1" applyBorder="1" applyAlignment="1">
      <alignment horizontal="left" vertical="center"/>
    </xf>
    <xf numFmtId="44" fontId="17" fillId="3" borderId="0" xfId="1" applyFont="1" applyFill="1" applyBorder="1" applyAlignment="1">
      <alignment vertical="center"/>
    </xf>
    <xf numFmtId="44" fontId="17" fillId="3" borderId="0" xfId="1" applyFont="1" applyFill="1" applyBorder="1"/>
    <xf numFmtId="164" fontId="17" fillId="3" borderId="0" xfId="0" applyNumberFormat="1" applyFont="1" applyFill="1" applyBorder="1"/>
    <xf numFmtId="0" fontId="17" fillId="3" borderId="0" xfId="0" applyFont="1" applyFill="1" applyBorder="1"/>
    <xf numFmtId="0" fontId="18" fillId="3" borderId="0" xfId="0" applyFont="1" applyFill="1" applyBorder="1"/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5" borderId="0" xfId="0" applyFont="1" applyFill="1"/>
    <xf numFmtId="0" fontId="8" fillId="2" borderId="7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21" fillId="4" borderId="0" xfId="0" applyFont="1" applyFill="1" applyAlignment="1">
      <alignment horizontal="center" vertical="center"/>
    </xf>
    <xf numFmtId="43" fontId="21" fillId="4" borderId="0" xfId="2" applyFont="1" applyFill="1" applyAlignment="1">
      <alignment horizontal="right" vertical="center"/>
    </xf>
    <xf numFmtId="0" fontId="21" fillId="4" borderId="0" xfId="0" applyFont="1" applyFill="1" applyAlignment="1">
      <alignment horizontal="left" vertical="center"/>
    </xf>
  </cellXfs>
  <cellStyles count="3">
    <cellStyle name="Moeda" xfId="1" builtinId="4"/>
    <cellStyle name="Normal" xfId="0" builtinId="0"/>
    <cellStyle name="Vírgula" xfId="2" builtinId="3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10583</xdr:colOff>
      <xdr:row>0</xdr:row>
      <xdr:rowOff>20107</xdr:rowOff>
    </xdr:from>
    <xdr:to>
      <xdr:col>2</xdr:col>
      <xdr:colOff>698501</xdr:colOff>
      <xdr:row>1</xdr:row>
      <xdr:rowOff>591608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4EC1B99-5990-460D-905C-D0DC0939C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0" y="20107"/>
          <a:ext cx="687918" cy="68791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37FA8B-31FC-452E-8AB2-3AC554CE8555}" name="Tabela2" displayName="Tabela2" ref="A2:C40" totalsRowShown="0" headerRowDxfId="4" dataDxfId="3">
  <autoFilter ref="A2:C40" xr:uid="{47F1A6F2-384B-4AA1-901C-41B441641972}"/>
  <tableColumns count="3">
    <tableColumn id="1" xr3:uid="{44E4405F-6A65-401F-B2A3-4C15F022E178}" name="CLIENTE" dataDxfId="0"/>
    <tableColumn id="2" xr3:uid="{6072A531-8DDC-4BD0-B231-A689D2842370}" name="DATA DE VENCIMENTO" dataDxfId="1"/>
    <tableColumn id="3" xr3:uid="{65A3240D-BA6C-4DD7-952E-70FF111A2981}" name="VALOR" dataDxfId="2" dataCellStyle="Vírgula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3673-C481-49D5-A7FD-505440D6A854}">
  <dimension ref="B1:H38"/>
  <sheetViews>
    <sheetView showGridLines="0" tabSelected="1" zoomScale="90" zoomScaleNormal="90" workbookViewId="0">
      <selection activeCell="E7" sqref="E7:H7"/>
    </sheetView>
  </sheetViews>
  <sheetFormatPr defaultRowHeight="14.25"/>
  <cols>
    <col min="1" max="1" width="2.125" customWidth="1"/>
    <col min="2" max="3" width="53.625" customWidth="1"/>
    <col min="4" max="4" width="1.875" customWidth="1"/>
    <col min="5" max="5" width="32.5" customWidth="1"/>
    <col min="6" max="6" width="27.875" customWidth="1"/>
    <col min="7" max="7" width="23.875" customWidth="1"/>
    <col min="8" max="8" width="21.5" customWidth="1"/>
  </cols>
  <sheetData>
    <row r="1" spans="2:8" ht="9.6" customHeight="1"/>
    <row r="2" spans="2:8" ht="48" customHeight="1" thickBot="1">
      <c r="B2" s="53" t="s">
        <v>71</v>
      </c>
      <c r="C2" s="4" t="s">
        <v>13</v>
      </c>
    </row>
    <row r="3" spans="2:8" ht="21" thickBot="1">
      <c r="B3" s="56" t="s">
        <v>72</v>
      </c>
      <c r="C3" s="57"/>
      <c r="D3" s="2"/>
    </row>
    <row r="4" spans="2:8" ht="20.25">
      <c r="B4" s="10" t="s">
        <v>0</v>
      </c>
      <c r="C4" s="30">
        <v>2400.35</v>
      </c>
      <c r="D4" s="2"/>
    </row>
    <row r="5" spans="2:8" ht="20.25">
      <c r="B5" s="10" t="s">
        <v>1</v>
      </c>
      <c r="C5" s="30">
        <v>146</v>
      </c>
      <c r="D5" s="2"/>
      <c r="E5" s="8"/>
    </row>
    <row r="6" spans="2:8" ht="20.25">
      <c r="B6" s="10" t="s">
        <v>2</v>
      </c>
      <c r="C6" s="33">
        <f>50+28.72</f>
        <v>78.72</v>
      </c>
      <c r="D6" s="2"/>
    </row>
    <row r="7" spans="2:8" ht="21" thickBot="1">
      <c r="B7" s="25" t="s">
        <v>3</v>
      </c>
      <c r="C7" s="27">
        <f>C4+C5-C6</f>
        <v>2467.63</v>
      </c>
      <c r="D7" s="2"/>
      <c r="E7" s="43"/>
      <c r="F7" s="43"/>
      <c r="G7" s="43"/>
      <c r="H7" s="43"/>
    </row>
    <row r="8" spans="2:8" ht="20.25">
      <c r="B8" s="58" t="s">
        <v>73</v>
      </c>
      <c r="C8" s="15"/>
      <c r="D8" s="2"/>
      <c r="E8" s="41"/>
      <c r="F8" s="44"/>
      <c r="G8" s="44"/>
      <c r="H8" s="44"/>
    </row>
    <row r="9" spans="2:8" ht="20.25">
      <c r="B9" s="10" t="s">
        <v>0</v>
      </c>
      <c r="C9" s="32">
        <v>0.97</v>
      </c>
      <c r="D9" s="2"/>
      <c r="E9" s="45"/>
      <c r="F9" s="46"/>
      <c r="G9" s="47"/>
      <c r="H9" s="42"/>
    </row>
    <row r="10" spans="2:8" ht="20.25">
      <c r="B10" s="10" t="s">
        <v>1</v>
      </c>
      <c r="C10" s="32"/>
      <c r="D10" s="2"/>
      <c r="E10" s="45"/>
      <c r="F10" s="46"/>
      <c r="G10" s="47"/>
      <c r="H10" s="42"/>
    </row>
    <row r="11" spans="2:8" ht="20.25">
      <c r="B11" s="10" t="s">
        <v>2</v>
      </c>
      <c r="C11" s="32">
        <v>0</v>
      </c>
      <c r="D11" s="2"/>
      <c r="E11" s="45"/>
      <c r="F11" s="46"/>
      <c r="G11" s="47"/>
      <c r="H11" s="42"/>
    </row>
    <row r="12" spans="2:8" ht="21" thickBot="1">
      <c r="B12" s="25" t="s">
        <v>3</v>
      </c>
      <c r="C12" s="27">
        <f>C9+C11</f>
        <v>0.97</v>
      </c>
      <c r="D12" s="2"/>
      <c r="E12" s="45"/>
      <c r="F12" s="46"/>
      <c r="G12" s="47"/>
      <c r="H12" s="48"/>
    </row>
    <row r="13" spans="2:8" ht="20.25">
      <c r="B13" s="58" t="s">
        <v>4</v>
      </c>
      <c r="C13" s="15"/>
      <c r="D13" s="2"/>
      <c r="E13" s="45"/>
      <c r="F13" s="46"/>
      <c r="G13" s="47"/>
      <c r="H13" s="48"/>
    </row>
    <row r="14" spans="2:8" ht="20.25">
      <c r="B14" s="10" t="s">
        <v>75</v>
      </c>
      <c r="C14" s="32">
        <v>7043.65</v>
      </c>
      <c r="D14" s="2"/>
      <c r="E14" s="45"/>
      <c r="F14" s="46"/>
      <c r="G14" s="47"/>
      <c r="H14" s="49"/>
    </row>
    <row r="15" spans="2:8" ht="20.25">
      <c r="B15" s="10" t="s">
        <v>76</v>
      </c>
      <c r="C15" s="32">
        <v>7042.05</v>
      </c>
      <c r="D15" s="2"/>
      <c r="E15" s="50"/>
      <c r="F15" s="46"/>
      <c r="G15" s="47"/>
      <c r="H15" s="49"/>
    </row>
    <row r="16" spans="2:8" ht="21" thickBot="1">
      <c r="B16" s="25" t="s">
        <v>5</v>
      </c>
      <c r="C16" s="31">
        <v>1.6</v>
      </c>
      <c r="D16" s="2"/>
      <c r="E16" s="50"/>
      <c r="F16" s="46"/>
      <c r="G16" s="47"/>
      <c r="H16" s="49"/>
    </row>
    <row r="17" spans="2:8" ht="21" thickBot="1">
      <c r="B17" s="59" t="s">
        <v>6</v>
      </c>
      <c r="C17" s="16"/>
      <c r="D17" s="2"/>
      <c r="E17" s="51"/>
      <c r="F17" s="52"/>
      <c r="G17" s="52"/>
      <c r="H17" s="51"/>
    </row>
    <row r="18" spans="2:8" ht="20.25">
      <c r="B18" s="12" t="s">
        <v>77</v>
      </c>
      <c r="C18" s="34">
        <v>38393.040000000001</v>
      </c>
      <c r="D18" s="2"/>
      <c r="E18" s="21"/>
      <c r="F18" s="24"/>
      <c r="G18" s="24"/>
      <c r="H18" s="22"/>
    </row>
    <row r="19" spans="2:8" ht="19.5" thickBot="1">
      <c r="B19" s="13" t="s">
        <v>7</v>
      </c>
      <c r="C19" s="26">
        <f>SUM(C18:C18)</f>
        <v>38393.040000000001</v>
      </c>
      <c r="E19" s="40"/>
      <c r="F19" s="40"/>
      <c r="G19" s="40"/>
      <c r="H19" s="40"/>
    </row>
    <row r="20" spans="2:8" ht="18.75" thickBot="1">
      <c r="B20" s="35" t="s">
        <v>8</v>
      </c>
      <c r="C20" s="36"/>
    </row>
    <row r="21" spans="2:8" ht="18">
      <c r="B21" s="14" t="s">
        <v>9</v>
      </c>
      <c r="C21" s="11">
        <v>0</v>
      </c>
      <c r="F21" s="9"/>
      <c r="G21" s="9"/>
    </row>
    <row r="22" spans="2:8" ht="18">
      <c r="B22" s="14" t="s">
        <v>10</v>
      </c>
      <c r="C22" s="11">
        <v>0</v>
      </c>
    </row>
    <row r="23" spans="2:8" ht="18.75" thickBot="1">
      <c r="B23" s="13" t="s">
        <v>11</v>
      </c>
      <c r="C23" s="29">
        <v>1899.23</v>
      </c>
    </row>
    <row r="24" spans="2:8" ht="21.75" customHeight="1" thickBot="1">
      <c r="B24" s="56" t="s">
        <v>74</v>
      </c>
      <c r="C24" s="57"/>
      <c r="D24" s="2"/>
      <c r="E24" s="9"/>
    </row>
    <row r="25" spans="2:8" ht="20.25">
      <c r="B25" s="19" t="s">
        <v>9</v>
      </c>
      <c r="C25" s="17">
        <v>0</v>
      </c>
      <c r="D25" s="1"/>
    </row>
    <row r="26" spans="2:8" ht="20.25">
      <c r="B26" s="20" t="s">
        <v>10</v>
      </c>
      <c r="C26" s="18">
        <v>0</v>
      </c>
      <c r="D26" s="3"/>
    </row>
    <row r="27" spans="2:8" ht="18">
      <c r="B27" s="23" t="s">
        <v>11</v>
      </c>
      <c r="C27" s="28">
        <v>4120.8</v>
      </c>
    </row>
    <row r="28" spans="2:8" ht="18">
      <c r="B28" s="38"/>
      <c r="C28" s="39"/>
    </row>
    <row r="29" spans="2:8" ht="18.75" thickBot="1">
      <c r="B29" s="13" t="s">
        <v>12</v>
      </c>
      <c r="C29" s="26">
        <f>C23+C27</f>
        <v>6020.0300000000007</v>
      </c>
    </row>
    <row r="31" spans="2:8" ht="18">
      <c r="B31" s="37"/>
      <c r="C31" s="37"/>
      <c r="D31" s="37"/>
    </row>
    <row r="32" spans="2:8">
      <c r="B32" s="5"/>
      <c r="C32" s="6"/>
      <c r="D32" s="7"/>
    </row>
    <row r="33" spans="2:4">
      <c r="B33" s="5"/>
      <c r="C33" s="6"/>
      <c r="D33" s="7"/>
    </row>
    <row r="34" spans="2:4">
      <c r="B34" s="5"/>
      <c r="C34" s="6"/>
      <c r="D34" s="7"/>
    </row>
    <row r="35" spans="2:4">
      <c r="B35" s="5"/>
      <c r="C35" s="6"/>
      <c r="D35" s="7"/>
    </row>
    <row r="36" spans="2:4">
      <c r="B36" s="5"/>
      <c r="C36" s="6"/>
      <c r="D36" s="7"/>
    </row>
    <row r="37" spans="2:4">
      <c r="B37" s="5"/>
      <c r="C37" s="6"/>
      <c r="D37" s="7"/>
    </row>
    <row r="38" spans="2:4">
      <c r="B38" s="5"/>
      <c r="C38" s="6"/>
      <c r="D38" s="7"/>
    </row>
  </sheetData>
  <mergeCells count="7">
    <mergeCell ref="B24:C24"/>
    <mergeCell ref="B3:C3"/>
    <mergeCell ref="E7:H7"/>
    <mergeCell ref="B31:D31"/>
    <mergeCell ref="B20:C20"/>
    <mergeCell ref="B28:C28"/>
    <mergeCell ref="E19:H19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CA1-682F-4420-92F3-7FE9C46F368F}">
  <dimension ref="A1:C40"/>
  <sheetViews>
    <sheetView showGridLines="0" topLeftCell="A22" workbookViewId="0">
      <selection activeCell="E9" sqref="E9"/>
    </sheetView>
  </sheetViews>
  <sheetFormatPr defaultRowHeight="14.25"/>
  <cols>
    <col min="1" max="1" width="54" customWidth="1"/>
    <col min="2" max="2" width="26" customWidth="1"/>
    <col min="3" max="3" width="11.75" customWidth="1"/>
  </cols>
  <sheetData>
    <row r="1" spans="1:3" ht="15">
      <c r="A1" s="54" t="s">
        <v>14</v>
      </c>
      <c r="B1" s="54"/>
      <c r="C1" s="54"/>
    </row>
    <row r="2" spans="1:3">
      <c r="A2" s="55" t="s">
        <v>35</v>
      </c>
      <c r="B2" s="55" t="s">
        <v>36</v>
      </c>
      <c r="C2" s="55" t="s">
        <v>37</v>
      </c>
    </row>
    <row r="3" spans="1:3">
      <c r="A3" s="62" t="s">
        <v>15</v>
      </c>
      <c r="B3" s="60" t="s">
        <v>39</v>
      </c>
      <c r="C3" s="61">
        <v>398.5</v>
      </c>
    </row>
    <row r="4" spans="1:3">
      <c r="A4" s="62" t="s">
        <v>16</v>
      </c>
      <c r="B4" s="60" t="s">
        <v>40</v>
      </c>
      <c r="C4" s="61">
        <v>363.5</v>
      </c>
    </row>
    <row r="5" spans="1:3">
      <c r="A5" s="62" t="s">
        <v>17</v>
      </c>
      <c r="B5" s="60" t="s">
        <v>41</v>
      </c>
      <c r="C5" s="61">
        <v>399.85</v>
      </c>
    </row>
    <row r="6" spans="1:3">
      <c r="A6" s="62" t="s">
        <v>18</v>
      </c>
      <c r="B6" s="60" t="s">
        <v>42</v>
      </c>
      <c r="C6" s="61">
        <v>328.5</v>
      </c>
    </row>
    <row r="7" spans="1:3">
      <c r="A7" s="62" t="s">
        <v>15</v>
      </c>
      <c r="B7" s="60" t="s">
        <v>43</v>
      </c>
      <c r="C7" s="61">
        <v>398.5</v>
      </c>
    </row>
    <row r="8" spans="1:3">
      <c r="A8" s="62" t="s">
        <v>16</v>
      </c>
      <c r="B8" s="60" t="s">
        <v>44</v>
      </c>
      <c r="C8" s="61">
        <v>363.5</v>
      </c>
    </row>
    <row r="9" spans="1:3">
      <c r="A9" s="62" t="s">
        <v>19</v>
      </c>
      <c r="B9" s="60" t="s">
        <v>45</v>
      </c>
      <c r="C9" s="61">
        <v>492.05</v>
      </c>
    </row>
    <row r="10" spans="1:3">
      <c r="A10" s="62" t="s">
        <v>20</v>
      </c>
      <c r="B10" s="60" t="s">
        <v>46</v>
      </c>
      <c r="C10" s="61">
        <v>365</v>
      </c>
    </row>
    <row r="11" spans="1:3">
      <c r="A11" s="62" t="s">
        <v>21</v>
      </c>
      <c r="B11" s="60" t="s">
        <v>47</v>
      </c>
      <c r="C11" s="61">
        <v>403.5</v>
      </c>
    </row>
    <row r="12" spans="1:3">
      <c r="A12" s="62" t="s">
        <v>38</v>
      </c>
      <c r="B12" s="60" t="s">
        <v>48</v>
      </c>
      <c r="C12" s="61">
        <v>363.5</v>
      </c>
    </row>
    <row r="13" spans="1:3">
      <c r="A13" s="62" t="s">
        <v>22</v>
      </c>
      <c r="B13" s="60" t="s">
        <v>49</v>
      </c>
      <c r="C13" s="61">
        <v>3506.2</v>
      </c>
    </row>
    <row r="14" spans="1:3">
      <c r="A14" s="62" t="s">
        <v>23</v>
      </c>
      <c r="B14" s="60" t="s">
        <v>50</v>
      </c>
      <c r="C14" s="61">
        <v>360</v>
      </c>
    </row>
    <row r="15" spans="1:3">
      <c r="A15" s="62" t="s">
        <v>24</v>
      </c>
      <c r="B15" s="60" t="s">
        <v>51</v>
      </c>
      <c r="C15" s="61">
        <v>330</v>
      </c>
    </row>
    <row r="16" spans="1:3">
      <c r="A16" s="62" t="s">
        <v>25</v>
      </c>
      <c r="B16" s="60" t="s">
        <v>52</v>
      </c>
      <c r="C16" s="61">
        <v>366.3</v>
      </c>
    </row>
    <row r="17" spans="1:3">
      <c r="A17" s="62" t="s">
        <v>17</v>
      </c>
      <c r="B17" s="60" t="s">
        <v>53</v>
      </c>
      <c r="C17" s="61">
        <v>478.8</v>
      </c>
    </row>
    <row r="18" spans="1:3">
      <c r="A18" s="62" t="s">
        <v>26</v>
      </c>
      <c r="B18" s="60" t="s">
        <v>53</v>
      </c>
      <c r="C18" s="61">
        <v>840</v>
      </c>
    </row>
    <row r="19" spans="1:3">
      <c r="A19" s="62" t="s">
        <v>27</v>
      </c>
      <c r="B19" s="60" t="s">
        <v>54</v>
      </c>
      <c r="C19" s="61">
        <v>2002.19</v>
      </c>
    </row>
    <row r="20" spans="1:3">
      <c r="A20" s="62" t="s">
        <v>17</v>
      </c>
      <c r="B20" s="60" t="s">
        <v>55</v>
      </c>
      <c r="C20" s="61">
        <v>1000</v>
      </c>
    </row>
    <row r="21" spans="1:3">
      <c r="A21" s="62" t="s">
        <v>28</v>
      </c>
      <c r="B21" s="60" t="s">
        <v>56</v>
      </c>
      <c r="C21" s="61">
        <v>3000</v>
      </c>
    </row>
    <row r="22" spans="1:3">
      <c r="A22" s="62" t="s">
        <v>29</v>
      </c>
      <c r="B22" s="60" t="s">
        <v>56</v>
      </c>
      <c r="C22" s="61">
        <v>159.9</v>
      </c>
    </row>
    <row r="23" spans="1:3">
      <c r="A23" s="62" t="s">
        <v>26</v>
      </c>
      <c r="B23" s="60" t="s">
        <v>57</v>
      </c>
      <c r="C23" s="61">
        <v>2100</v>
      </c>
    </row>
    <row r="24" spans="1:3">
      <c r="A24" s="62" t="s">
        <v>30</v>
      </c>
      <c r="B24" s="60" t="s">
        <v>58</v>
      </c>
      <c r="C24" s="61">
        <v>478.79</v>
      </c>
    </row>
    <row r="25" spans="1:3">
      <c r="A25" s="62" t="s">
        <v>31</v>
      </c>
      <c r="B25" s="60" t="s">
        <v>59</v>
      </c>
      <c r="C25" s="61">
        <v>399.5</v>
      </c>
    </row>
    <row r="26" spans="1:3">
      <c r="A26" s="62" t="s">
        <v>26</v>
      </c>
      <c r="B26" s="60" t="s">
        <v>60</v>
      </c>
      <c r="C26" s="61">
        <v>2100</v>
      </c>
    </row>
    <row r="27" spans="1:3">
      <c r="A27" s="62" t="s">
        <v>27</v>
      </c>
      <c r="B27" s="60" t="s">
        <v>60</v>
      </c>
      <c r="C27" s="61">
        <v>2002.19</v>
      </c>
    </row>
    <row r="28" spans="1:3">
      <c r="A28" s="62" t="s">
        <v>22</v>
      </c>
      <c r="B28" s="60" t="s">
        <v>61</v>
      </c>
      <c r="C28" s="61">
        <v>208.82</v>
      </c>
    </row>
    <row r="29" spans="1:3">
      <c r="A29" s="62" t="s">
        <v>32</v>
      </c>
      <c r="B29" s="60" t="s">
        <v>62</v>
      </c>
      <c r="C29" s="61">
        <v>500</v>
      </c>
    </row>
    <row r="30" spans="1:3">
      <c r="A30" s="62" t="s">
        <v>26</v>
      </c>
      <c r="B30" s="60" t="s">
        <v>63</v>
      </c>
      <c r="C30" s="61">
        <v>2100</v>
      </c>
    </row>
    <row r="31" spans="1:3">
      <c r="A31" s="62" t="s">
        <v>32</v>
      </c>
      <c r="B31" s="60" t="s">
        <v>64</v>
      </c>
      <c r="C31" s="61">
        <v>500</v>
      </c>
    </row>
    <row r="32" spans="1:3">
      <c r="A32" s="62" t="s">
        <v>33</v>
      </c>
      <c r="B32" s="60" t="s">
        <v>65</v>
      </c>
      <c r="C32" s="61">
        <v>540</v>
      </c>
    </row>
    <row r="33" spans="1:3">
      <c r="A33" s="62" t="s">
        <v>34</v>
      </c>
      <c r="B33" s="60" t="s">
        <v>66</v>
      </c>
      <c r="C33" s="61">
        <v>191.4</v>
      </c>
    </row>
    <row r="34" spans="1:3">
      <c r="A34" s="62" t="s">
        <v>29</v>
      </c>
      <c r="B34" s="60" t="s">
        <v>66</v>
      </c>
      <c r="C34" s="61">
        <v>159.9</v>
      </c>
    </row>
    <row r="35" spans="1:3">
      <c r="A35" s="62" t="s">
        <v>28</v>
      </c>
      <c r="B35" s="60" t="s">
        <v>66</v>
      </c>
      <c r="C35" s="61">
        <v>3000</v>
      </c>
    </row>
    <row r="36" spans="1:3">
      <c r="A36" s="62" t="s">
        <v>26</v>
      </c>
      <c r="B36" s="60" t="s">
        <v>67</v>
      </c>
      <c r="C36" s="61">
        <v>2100</v>
      </c>
    </row>
    <row r="37" spans="1:3">
      <c r="A37" s="62" t="s">
        <v>27</v>
      </c>
      <c r="B37" s="60" t="s">
        <v>67</v>
      </c>
      <c r="C37" s="61">
        <v>2002.19</v>
      </c>
    </row>
    <row r="38" spans="1:3">
      <c r="A38" s="62" t="s">
        <v>19</v>
      </c>
      <c r="B38" s="60" t="s">
        <v>68</v>
      </c>
      <c r="C38" s="61">
        <v>590.46</v>
      </c>
    </row>
    <row r="39" spans="1:3">
      <c r="A39" s="62" t="s">
        <v>32</v>
      </c>
      <c r="B39" s="60" t="s">
        <v>69</v>
      </c>
      <c r="C39" s="61">
        <v>500</v>
      </c>
    </row>
    <row r="40" spans="1:3">
      <c r="A40" s="62" t="s">
        <v>28</v>
      </c>
      <c r="B40" s="60" t="s">
        <v>70</v>
      </c>
      <c r="C40" s="61">
        <v>3000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614B2329CFA84EBA92C6FDCAFE0E65" ma:contentTypeVersion="16" ma:contentTypeDescription="Crie um novo documento." ma:contentTypeScope="" ma:versionID="50368e5a8a3ba3c0641f98bdf37cf0f8">
  <xsd:schema xmlns:xsd="http://www.w3.org/2001/XMLSchema" xmlns:xs="http://www.w3.org/2001/XMLSchema" xmlns:p="http://schemas.microsoft.com/office/2006/metadata/properties" xmlns:ns2="7e491d24-465e-4238-ae6f-8e208574f286" xmlns:ns3="c23558cc-68bd-416a-a092-803a1fc4aa9d" targetNamespace="http://schemas.microsoft.com/office/2006/metadata/properties" ma:root="true" ma:fieldsID="e65f06e3dfddbcd26095e6c7cf8b80e3" ns2:_="" ns3:_="">
    <xsd:import namespace="7e491d24-465e-4238-ae6f-8e208574f286"/>
    <xsd:import namespace="c23558cc-68bd-416a-a092-803a1fc4aa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1d24-465e-4238-ae6f-8e208574f2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9fe0d7-8c5e-4776-b08e-18ae1e59b949}" ma:internalName="TaxCatchAll" ma:showField="CatchAllData" ma:web="7e491d24-465e-4238-ae6f-8e208574f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558cc-68bd-416a-a092-803a1fc4aa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a182e56-05c7-41a7-981b-3242c3cf06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3558cc-68bd-416a-a092-803a1fc4aa9d">
      <Terms xmlns="http://schemas.microsoft.com/office/infopath/2007/PartnerControls"/>
    </lcf76f155ced4ddcb4097134ff3c332f>
    <TaxCatchAll xmlns="7e491d24-465e-4238-ae6f-8e208574f286" xsi:nil="true"/>
  </documentManagement>
</p:properties>
</file>

<file path=customXml/itemProps1.xml><?xml version="1.0" encoding="utf-8"?>
<ds:datastoreItem xmlns:ds="http://schemas.openxmlformats.org/officeDocument/2006/customXml" ds:itemID="{C98B0C4C-79A5-468C-B1CC-3971CA8596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D159F5-2169-4828-866F-8541C0494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491d24-465e-4238-ae6f-8e208574f286"/>
    <ds:schemaRef ds:uri="c23558cc-68bd-416a-a092-803a1fc4aa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DBE941-A6AB-47A8-8671-F53AFFDB8308}">
  <ds:schemaRefs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c23558cc-68bd-416a-a092-803a1fc4aa9d"/>
    <ds:schemaRef ds:uri="7e491d24-465e-4238-ae6f-8e208574f28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Saldos Brustin</vt:lpstr>
      <vt:lpstr>Inadimplência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Mutuus Contabilidade 18</dc:creator>
  <cp:keywords/>
  <dc:description/>
  <cp:lastModifiedBy>Lucas Willian Viana Silva</cp:lastModifiedBy>
  <cp:revision/>
  <dcterms:created xsi:type="dcterms:W3CDTF">2024-10-01T13:46:47Z</dcterms:created>
  <dcterms:modified xsi:type="dcterms:W3CDTF">2026-08-19T18:33:56Z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0x010100FD614B2329CFA84EBA92C6FDCAFE0E65</vt:lpwstr>
  </property>
  <property fmtid="{D5CDD505-2E9C-101B-9397-08002B2CF9AE}" pid="3" name="MediaServiceImageTags">
    <vt:lpwstr/>
  </property>
</Properties>
</file>